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>
      <c r="A1" s="1" t="inlineStr">
        <is>
          <t>timestamp</t>
        </is>
      </c>
      <c r="B1" s="1" t="inlineStr">
        <is>
          <t>trial_id</t>
        </is>
      </c>
      <c r="C1" s="1" t="inlineStr">
        <is>
          <t>goal_id</t>
        </is>
      </c>
      <c r="D1" s="1" t="inlineStr">
        <is>
          <t>x_goal</t>
        </is>
      </c>
      <c r="E1" s="1" t="inlineStr">
        <is>
          <t>y_goal</t>
        </is>
      </c>
      <c r="F1" s="1" t="inlineStr">
        <is>
          <t>theta_goal_deg</t>
        </is>
      </c>
      <c r="G1" s="1" t="inlineStr">
        <is>
          <t>x_actual</t>
        </is>
      </c>
      <c r="H1" s="1" t="inlineStr">
        <is>
          <t>y_actual</t>
        </is>
      </c>
      <c r="I1" s="1" t="inlineStr">
        <is>
          <t>theta_actual_deg</t>
        </is>
      </c>
      <c r="J1" s="1" t="inlineStr">
        <is>
          <t>e_trans_m</t>
        </is>
      </c>
      <c r="K1" s="1" t="inlineStr">
        <is>
          <t>e_heading_deg</t>
        </is>
      </c>
      <c r="L1" s="1" t="inlineStr">
        <is>
          <t>notes</t>
        </is>
      </c>
    </row>
    <row r="2">
      <c r="A2" s="2" t="inlineStr">
        <is>
          <t>2026-05-12T18:10:13</t>
        </is>
      </c>
      <c r="B2" s="2" t="n">
        <v>1</v>
      </c>
      <c r="C2" s="2" t="inlineStr">
        <is>
          <t>G1</t>
        </is>
      </c>
      <c r="D2" s="3" t="n">
        <v>12.68</v>
      </c>
      <c r="E2" s="3" t="n">
        <v>11.93</v>
      </c>
      <c r="F2" s="4" t="n">
        <v>178.763</v>
      </c>
      <c r="G2" s="3" t="n">
        <v>12.655</v>
      </c>
      <c r="H2" s="3" t="n">
        <v>11.916</v>
      </c>
      <c r="I2" s="4" t="n">
        <v>174.698</v>
      </c>
      <c r="J2" s="5" t="n">
        <v>0.0287</v>
      </c>
      <c r="K2" s="3" t="n">
        <v>-4.065</v>
      </c>
      <c r="L2" s="2" t="inlineStr"/>
    </row>
    <row r="3">
      <c r="A3" s="2" t="inlineStr">
        <is>
          <t>2026-05-12T18:11:11</t>
        </is>
      </c>
      <c r="B3" s="2" t="n">
        <v>2</v>
      </c>
      <c r="C3" s="2" t="inlineStr">
        <is>
          <t>G1</t>
        </is>
      </c>
      <c r="D3" s="3" t="n">
        <v>12.68</v>
      </c>
      <c r="E3" s="3" t="n">
        <v>11.93</v>
      </c>
      <c r="F3" s="4" t="n">
        <v>178.763</v>
      </c>
      <c r="G3" s="3" t="n">
        <v>12.6542</v>
      </c>
      <c r="H3" s="3" t="n">
        <v>11.8892</v>
      </c>
      <c r="I3" s="4" t="n">
        <v>172.539</v>
      </c>
      <c r="J3" s="5" t="n">
        <v>0.0483</v>
      </c>
      <c r="K3" s="3" t="n">
        <v>-6.223</v>
      </c>
      <c r="L3" s="2" t="inlineStr"/>
    </row>
    <row r="4">
      <c r="A4" s="2" t="inlineStr">
        <is>
          <t>2026-05-12T18:12:11</t>
        </is>
      </c>
      <c r="B4" s="2" t="n">
        <v>3</v>
      </c>
      <c r="C4" s="2" t="inlineStr">
        <is>
          <t>G1</t>
        </is>
      </c>
      <c r="D4" s="3" t="n">
        <v>12.68</v>
      </c>
      <c r="E4" s="3" t="n">
        <v>11.93</v>
      </c>
      <c r="F4" s="4" t="n">
        <v>178.763</v>
      </c>
      <c r="G4" s="3" t="n">
        <v>12.6587</v>
      </c>
      <c r="H4" s="3" t="n">
        <v>11.8879</v>
      </c>
      <c r="I4" s="4" t="n">
        <v>177.577</v>
      </c>
      <c r="J4" s="5" t="n">
        <v>0.0471</v>
      </c>
      <c r="K4" s="3" t="n">
        <v>-1.186</v>
      </c>
      <c r="L4" s="2" t="inlineStr"/>
    </row>
    <row r="5">
      <c r="A5" s="2" t="inlineStr">
        <is>
          <t>2026-05-12T18:13:15</t>
        </is>
      </c>
      <c r="B5" s="2" t="n">
        <v>4</v>
      </c>
      <c r="C5" s="2" t="inlineStr">
        <is>
          <t>G1</t>
        </is>
      </c>
      <c r="D5" s="3" t="n">
        <v>12.68</v>
      </c>
      <c r="E5" s="3" t="n">
        <v>11.93</v>
      </c>
      <c r="F5" s="4" t="n">
        <v>178.763</v>
      </c>
      <c r="G5" s="3" t="n">
        <v>12.6454</v>
      </c>
      <c r="H5" s="3" t="n">
        <v>11.9067</v>
      </c>
      <c r="I5" s="4" t="n">
        <v>170.733</v>
      </c>
      <c r="J5" s="5" t="n">
        <v>0.0417</v>
      </c>
      <c r="K5" s="3" t="n">
        <v>-8.029999999999999</v>
      </c>
      <c r="L5" s="2" t="inlineStr"/>
    </row>
    <row r="6">
      <c r="A6" s="2" t="inlineStr">
        <is>
          <t>2026-05-12T18:14:13</t>
        </is>
      </c>
      <c r="B6" s="2" t="n">
        <v>5</v>
      </c>
      <c r="C6" s="2" t="inlineStr">
        <is>
          <t>G1</t>
        </is>
      </c>
      <c r="D6" s="3" t="n">
        <v>12.68</v>
      </c>
      <c r="E6" s="3" t="n">
        <v>11.93</v>
      </c>
      <c r="F6" s="4" t="n">
        <v>178.763</v>
      </c>
      <c r="G6" s="3" t="n">
        <v>12.6645</v>
      </c>
      <c r="H6" s="3" t="n">
        <v>11.9001</v>
      </c>
      <c r="I6" s="4" t="n">
        <v>176.482</v>
      </c>
      <c r="J6" s="5" t="n">
        <v>0.0337</v>
      </c>
      <c r="K6" s="3" t="n">
        <v>-2.281</v>
      </c>
      <c r="L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  <col width="22" customWidth="1" min="5" max="5"/>
    <col width="22" customWidth="1" min="6" max="6"/>
  </cols>
  <sheetData>
    <row r="1">
      <c r="A1" s="6" t="inlineStr">
        <is>
          <t>Navigation accuracy summary</t>
        </is>
      </c>
    </row>
    <row r="3">
      <c r="A3" s="7" t="inlineStr">
        <is>
          <t>Overall</t>
        </is>
      </c>
    </row>
    <row r="4">
      <c r="A4" s="8" t="inlineStr">
        <is>
          <t>Total trials</t>
        </is>
      </c>
      <c r="B4" s="8" t="inlineStr">
        <is>
          <t>Mean e_trans (m)</t>
        </is>
      </c>
      <c r="C4" s="8" t="inlineStr">
        <is>
          <t>Max e_trans (m)</t>
        </is>
      </c>
      <c r="D4" s="8" t="inlineStr">
        <is>
          <t>Mean |e_head| (deg)</t>
        </is>
      </c>
      <c r="E4" s="8" t="inlineStr">
        <is>
          <t>Max |e_head| (deg)</t>
        </is>
      </c>
    </row>
    <row r="5">
      <c r="A5">
        <f>COUNTA(trials!$C$2:$C$6)</f>
        <v/>
      </c>
      <c r="B5" s="9">
        <f>IFERROR(AVERAGE(trials!$J$2:$J$6), 0)</f>
        <v/>
      </c>
      <c r="C5" s="9">
        <f>IFERROR(MAX(trials!$J$2:$J$6), 0)</f>
        <v/>
      </c>
      <c r="D5" s="10">
        <f>IFERROR(SUMPRODUCT(ABS(trials!$K$2:$K$6))/A5, 0)</f>
        <v/>
      </c>
      <c r="E5" s="10">
        <f>IFERROR(SUMPRODUCT(MAX(ABS(trials!$K$2:$K$6))), 0)</f>
        <v/>
      </c>
    </row>
    <row r="7">
      <c r="A7" s="7" t="inlineStr">
        <is>
          <t>Per goal</t>
        </is>
      </c>
    </row>
    <row r="8">
      <c r="A8" s="8" t="inlineStr">
        <is>
          <t>goal_id</t>
        </is>
      </c>
      <c r="B8" s="8" t="inlineStr">
        <is>
          <t>trials</t>
        </is>
      </c>
      <c r="C8" s="8" t="inlineStr">
        <is>
          <t>mean e_trans (m)</t>
        </is>
      </c>
      <c r="D8" s="8" t="inlineStr">
        <is>
          <t>max e_trans (m)</t>
        </is>
      </c>
      <c r="E8" s="8" t="inlineStr">
        <is>
          <t>mean |e_head| (deg)</t>
        </is>
      </c>
      <c r="F8" s="8" t="inlineStr">
        <is>
          <t>max |e_head| (deg)</t>
        </is>
      </c>
    </row>
    <row r="9">
      <c r="A9" s="2" t="inlineStr">
        <is>
          <t>G1</t>
        </is>
      </c>
      <c r="B9" s="2">
        <f>COUNTIF(trials!$C$2:$C$6, "G1")</f>
        <v/>
      </c>
      <c r="C9" s="5">
        <f>IFERROR(AVERAGEIF(trials!$C$2:$C$6, "G1", trials!$J$2:$J$6), 0)</f>
        <v/>
      </c>
      <c r="D9" s="5">
        <f>IFERROR(SUMPRODUCT(MAX((trials!$C$2:$C$6="G1")*trials!$J$2:$J$6)), 0)</f>
        <v/>
      </c>
      <c r="E9" s="3">
        <f>IFERROR(SUMPRODUCT((trials!$C$2:$C$6="G1")*ABS(trials!$K$2:$K$6))/B9, 0)</f>
        <v/>
      </c>
      <c r="F9" s="3">
        <f>IFERROR(SUMPRODUCT(MAX((trials!$C$2:$C$6="G1")*ABS(trials!$K$2:$K$6))),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2026-05-12T09:14:18+00:00Z</dcterms:created>
  <dcterms:modified xmlns:dcterms="http://purl.org/dc/terms/" xmlns:xsi="http://www.w3.org/2001/XMLSchema-instance" xsi:type="dcterms:W3CDTF">2026-05-12T09:14:18+00:00Z</dcterms:modified>
</cp:coreProperties>
</file>